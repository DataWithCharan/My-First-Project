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d Gift\Downloads\"/>
    </mc:Choice>
  </mc:AlternateContent>
  <xr:revisionPtr revIDLastSave="0" documentId="8_{B2ED6B91-A7CD-445F-9F7A-0950E2B46DCC}" xr6:coauthVersionLast="47" xr6:coauthVersionMax="47" xr10:uidLastSave="{00000000-0000-0000-0000-000000000000}"/>
  <bookViews>
    <workbookView xWindow="-108" yWindow="-108" windowWidth="23256" windowHeight="12456" activeTab="1" xr2:uid="{D0E3905F-097E-43A3-9054-14D7670A04AE}"/>
  </bookViews>
  <sheets>
    <sheet name="Sheet2" sheetId="2" r:id="rId1"/>
    <sheet name="Sheet1" sheetId="1" r:id="rId2"/>
  </sheets>
  <calcPr calcId="191029"/>
  <pivotCaches>
    <pivotCache cacheId="6" r:id="rId3"/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6" i="1"/>
  <c r="J22" i="1"/>
  <c r="J23" i="1"/>
  <c r="J24" i="1"/>
  <c r="J25" i="1"/>
  <c r="J21" i="1"/>
  <c r="L13" i="1"/>
  <c r="M13" i="1" l="1"/>
</calcChain>
</file>

<file path=xl/sharedStrings.xml><?xml version="1.0" encoding="utf-8"?>
<sst xmlns="http://schemas.openxmlformats.org/spreadsheetml/2006/main" count="33" uniqueCount="22">
  <si>
    <t>Customer ID</t>
  </si>
  <si>
    <t>Join Date</t>
  </si>
  <si>
    <t>Last Active Data</t>
  </si>
  <si>
    <t>plan Type</t>
  </si>
  <si>
    <t>usage count</t>
  </si>
  <si>
    <t>Complaints</t>
  </si>
  <si>
    <t>Status</t>
  </si>
  <si>
    <t>Basic</t>
  </si>
  <si>
    <t>premium</t>
  </si>
  <si>
    <t>standard</t>
  </si>
  <si>
    <t>Total Customers</t>
  </si>
  <si>
    <t>churned customers</t>
  </si>
  <si>
    <t>Row Labels</t>
  </si>
  <si>
    <t>Grand Total</t>
  </si>
  <si>
    <t>Sum of Customer ID</t>
  </si>
  <si>
    <t>(All)</t>
  </si>
  <si>
    <t>High Risk Customers Identify</t>
  </si>
  <si>
    <t>Churned</t>
  </si>
  <si>
    <t>Acive vs Churned(pie Chart)</t>
  </si>
  <si>
    <t>Churn by plane Type</t>
  </si>
  <si>
    <t>Monthly Churn Trend (Line Chart)</t>
  </si>
  <si>
    <t>High-Risk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</si>
</sst>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1" fillId="6" borderId="0" xfId="0" applyNumberFormat="1" applyFont="1" applyFill="1"/>
    <xf numFmtId="0" fontId="1" fillId="4" borderId="0" xfId="3" applyAlignment="1">
      <alignment horizontal="center" vertical="center"/>
    </xf>
    <xf numFmtId="0" fontId="4" fillId="5" borderId="0" xfId="4" applyFont="1"/>
    <xf numFmtId="0" fontId="4" fillId="3" borderId="0" xfId="2" applyFont="1"/>
    <xf numFmtId="0" fontId="2" fillId="2" borderId="0" xfId="1" applyAlignment="1">
      <alignment horizontal="center" vertical="center"/>
    </xf>
    <xf numFmtId="0" fontId="4" fillId="8" borderId="0" xfId="6" applyFont="1"/>
    <xf numFmtId="0" fontId="5" fillId="7" borderId="0" xfId="5" applyFont="1"/>
  </cellXfs>
  <cellStyles count="7">
    <cellStyle name="60% - Accent1" xfId="3" builtinId="32"/>
    <cellStyle name="Accent1" xfId="2" builtinId="29"/>
    <cellStyle name="Accent2" xfId="4" builtinId="33"/>
    <cellStyle name="Accent4" xfId="5" builtinId="41"/>
    <cellStyle name="Accent5" xfId="6" builtinId="45"/>
    <cellStyle name="Bad" xfId="1" builtinId="27"/>
    <cellStyle name="Normal" xfId="0" builtinId="0"/>
  </cellStyles>
  <dxfs count="15">
    <dxf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Lit>
              <c:ptCount val="1"/>
              <c:pt idx="0">
                <c:v>Churned</c:v>
              </c:pt>
            </c:strLit>
          </c:cat>
          <c:val>
            <c:numLit>
              <c:formatCode>General</c:formatCode>
              <c:ptCount val="1"/>
              <c:pt idx="0">
                <c:v>515</c:v>
              </c:pt>
            </c:numLit>
          </c:val>
          <c:extLst>
            <c:ext xmlns:c16="http://schemas.microsoft.com/office/drawing/2014/chart" uri="{C3380CC4-5D6E-409C-BE32-E72D297353CC}">
              <c16:uniqueId val="{00000000-F23B-43B0-A4C6-01E292536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234204476286852E-2"/>
          <c:y val="0.16421875"/>
          <c:w val="0.76795748574264255"/>
          <c:h val="0.71495693897637791"/>
        </c:manualLayout>
      </c:layout>
      <c:barChart>
        <c:barDir val="col"/>
        <c:grouping val="clustered"/>
        <c:varyColors val="0"/>
        <c:ser>
          <c:idx val="0"/>
          <c:order val="0"/>
          <c:tx>
            <c:v>Churned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Basic</c:v>
              </c:pt>
              <c:pt idx="1">
                <c:v>premium</c:v>
              </c:pt>
              <c:pt idx="2">
                <c:v>standard</c:v>
              </c:pt>
            </c:strLit>
          </c:cat>
          <c:val>
            <c:numLit>
              <c:formatCode>General</c:formatCode>
              <c:ptCount val="3"/>
              <c:pt idx="0">
                <c:v>204</c:v>
              </c:pt>
              <c:pt idx="1">
                <c:v>207</c:v>
              </c:pt>
              <c:pt idx="2">
                <c:v>104</c:v>
              </c:pt>
            </c:numLit>
          </c:val>
          <c:extLst>
            <c:ext xmlns:c16="http://schemas.microsoft.com/office/drawing/2014/chart" uri="{C3380CC4-5D6E-409C-BE32-E72D297353CC}">
              <c16:uniqueId val="{00000000-6177-4EA9-94D4-4A788370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996164656"/>
        <c:axId val="1996163696"/>
      </c:barChart>
      <c:catAx>
        <c:axId val="199616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63696"/>
        <c:crosses val="autoZero"/>
        <c:auto val="1"/>
        <c:lblAlgn val="ctr"/>
        <c:lblOffset val="100"/>
        <c:noMultiLvlLbl val="0"/>
      </c:catAx>
      <c:valAx>
        <c:axId val="19961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646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Jan</c:v>
              </c:pt>
              <c:pt idx="1">
                <c:v>Mar</c:v>
              </c:pt>
              <c:pt idx="2">
                <c:v>Jun</c:v>
              </c:pt>
              <c:pt idx="3">
                <c:v>Aug</c:v>
              </c:pt>
              <c:pt idx="4">
                <c:v>Nov</c:v>
              </c:pt>
            </c:strLit>
          </c:cat>
          <c:val>
            <c:numLit>
              <c:formatCode>General</c:formatCode>
              <c:ptCount val="5"/>
              <c:pt idx="0">
                <c:v>101</c:v>
              </c:pt>
              <c:pt idx="1">
                <c:v>102</c:v>
              </c:pt>
              <c:pt idx="2">
                <c:v>104</c:v>
              </c:pt>
              <c:pt idx="3">
                <c:v>105</c:v>
              </c:pt>
              <c:pt idx="4">
                <c:v>103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C5E-4F30-9E8B-68BC54ED6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696096"/>
        <c:axId val="282696576"/>
      </c:lineChart>
      <c:catAx>
        <c:axId val="2826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96576"/>
        <c:crosses val="autoZero"/>
        <c:auto val="1"/>
        <c:lblAlgn val="ctr"/>
        <c:lblOffset val="100"/>
        <c:noMultiLvlLbl val="0"/>
      </c:catAx>
      <c:valAx>
        <c:axId val="2826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9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41737511894679"/>
          <c:y val="0.13033154121863802"/>
          <c:w val="0.76134116203602042"/>
          <c:h val="0.7881350012700025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High Risk</c:v>
              </c:pt>
              <c:pt idx="1">
                <c:v>Low Risk</c:v>
              </c:pt>
            </c:strLit>
          </c:cat>
          <c:val>
            <c:numLit>
              <c:formatCode>General</c:formatCode>
              <c:ptCount val="2"/>
              <c:pt idx="0">
                <c:v>309</c:v>
              </c:pt>
              <c:pt idx="1">
                <c:v>206</c:v>
              </c:pt>
            </c:numLit>
          </c:val>
          <c:extLst>
            <c:ext xmlns:c16="http://schemas.microsoft.com/office/drawing/2014/chart" uri="{C3380CC4-5D6E-409C-BE32-E72D297353CC}">
              <c16:uniqueId val="{00000000-D03F-4A0A-9E43-E4DE8032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017648"/>
        <c:axId val="296014288"/>
      </c:barChart>
      <c:catAx>
        <c:axId val="29601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14288"/>
        <c:crosses val="autoZero"/>
        <c:auto val="1"/>
        <c:lblAlgn val="ctr"/>
        <c:lblOffset val="100"/>
        <c:noMultiLvlLbl val="0"/>
      </c:catAx>
      <c:valAx>
        <c:axId val="29601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1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33</xdr:row>
      <xdr:rowOff>106680</xdr:rowOff>
    </xdr:from>
    <xdr:to>
      <xdr:col>4</xdr:col>
      <xdr:colOff>594360</xdr:colOff>
      <xdr:row>46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DE4A70-2689-B5FB-3D2C-5D56CE034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796290</xdr:colOff>
      <xdr:row>33</xdr:row>
      <xdr:rowOff>137160</xdr:rowOff>
    </xdr:from>
    <xdr:to>
      <xdr:col>9</xdr:col>
      <xdr:colOff>110490</xdr:colOff>
      <xdr:row>47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00F05-F0B9-3742-CBF8-2CB540632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510540</xdr:colOff>
      <xdr:row>33</xdr:row>
      <xdr:rowOff>152400</xdr:rowOff>
    </xdr:from>
    <xdr:to>
      <xdr:col>14</xdr:col>
      <xdr:colOff>830580</xdr:colOff>
      <xdr:row>46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E2BB5F-3B5F-AB47-265B-1F7726550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160020</xdr:colOff>
      <xdr:row>53</xdr:row>
      <xdr:rowOff>0</xdr:rowOff>
    </xdr:from>
    <xdr:to>
      <xdr:col>9</xdr:col>
      <xdr:colOff>53340</xdr:colOff>
      <xdr:row>69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086284-E750-9572-AE2C-39D7193FC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d Gift" refreshedDate="46025.263081018522" createdVersion="8" refreshedVersion="8" minRefreshableVersion="3" recordCount="5" xr:uid="{87EAE42C-BE56-4CA9-B69A-5C34AC6E8F44}">
  <cacheSource type="worksheet">
    <worksheetSource ref="C5:I10" sheet="Sheet1"/>
  </cacheSource>
  <cacheFields count="7">
    <cacheField name="Customer ID" numFmtId="0">
      <sharedItems containsSemiMixedTypes="0" containsString="0" containsNumber="1" containsInteger="1" minValue="101" maxValue="105"/>
    </cacheField>
    <cacheField name="Join Date" numFmtId="14">
      <sharedItems containsSemiMixedTypes="0" containsNonDate="0" containsDate="1" containsString="0" minDate="2023-11-20T00:00:00" maxDate="2024-08-19T00:00:00"/>
    </cacheField>
    <cacheField name="Last Active Data" numFmtId="14">
      <sharedItems containsSemiMixedTypes="0" containsNonDate="0" containsDate="1" containsString="0" minDate="2025-05-15T00:00:00" maxDate="2025-12-13T00:00:00"/>
    </cacheField>
    <cacheField name="plan Type" numFmtId="0">
      <sharedItems count="3">
        <s v="Basic"/>
        <s v="premium"/>
        <s v="standard"/>
      </sharedItems>
    </cacheField>
    <cacheField name="usage count" numFmtId="0">
      <sharedItems containsSemiMixedTypes="0" containsString="0" containsNumber="1" containsInteger="1" minValue="1" maxValue="15"/>
    </cacheField>
    <cacheField name="Complaints" numFmtId="0">
      <sharedItems containsSemiMixedTypes="0" containsString="0" containsNumber="1" containsInteger="1" minValue="0" maxValue="4"/>
    </cacheField>
    <cacheField name="Status" numFmtId="0">
      <sharedItems count="1">
        <s v="Ch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d Gift" refreshedDate="46025.278416666668" createdVersion="8" refreshedVersion="8" minRefreshableVersion="3" recordCount="5" xr:uid="{DBA36ECB-F164-4641-916A-6CE5C2BFAF0D}">
  <cacheSource type="worksheet">
    <worksheetSource name="Table2"/>
  </cacheSource>
  <cacheFields count="10">
    <cacheField name="Customer ID" numFmtId="0">
      <sharedItems containsSemiMixedTypes="0" containsString="0" containsNumber="1" containsInteger="1" minValue="101" maxValue="105"/>
    </cacheField>
    <cacheField name="Join Date" numFmtId="14">
      <sharedItems containsSemiMixedTypes="0" containsNonDate="0" containsDate="1" containsString="0" minDate="2023-11-20T00:00:00" maxDate="2024-08-19T00:00:00" count="5">
        <d v="2024-01-10T00:00:00"/>
        <d v="2024-03-15T00:00:00"/>
        <d v="2023-11-20T00:00:00"/>
        <d v="2024-06-05T00:00:00"/>
        <d v="2024-08-18T00:00:00"/>
      </sharedItems>
      <fieldGroup par="9"/>
    </cacheField>
    <cacheField name="Last Active Data" numFmtId="14">
      <sharedItems containsSemiMixedTypes="0" containsNonDate="0" containsDate="1" containsString="0" minDate="2025-05-15T00:00:00" maxDate="2025-12-13T00:00:00" count="5">
        <d v="2025-12-01T00:00:00"/>
        <d v="2025-05-15T00:00:00"/>
        <d v="2025-10-18T00:00:00"/>
        <d v="2025-11-24T00:00:00"/>
        <d v="2025-12-12T00:00:00"/>
      </sharedItems>
    </cacheField>
    <cacheField name="plan Type" numFmtId="0">
      <sharedItems count="3">
        <s v="Basic"/>
        <s v="premium"/>
        <s v="standard"/>
      </sharedItems>
    </cacheField>
    <cacheField name="usage count" numFmtId="0">
      <sharedItems containsSemiMixedTypes="0" containsString="0" containsNumber="1" containsInteger="1" minValue="1" maxValue="15" count="5">
        <n v="3"/>
        <n v="15"/>
        <n v="2"/>
        <n v="10"/>
        <n v="1"/>
      </sharedItems>
    </cacheField>
    <cacheField name="Complaints" numFmtId="0">
      <sharedItems containsSemiMixedTypes="0" containsString="0" containsNumber="1" containsInteger="1" minValue="0" maxValue="4" count="5">
        <n v="2"/>
        <n v="0"/>
        <n v="3"/>
        <n v="1"/>
        <n v="4"/>
      </sharedItems>
    </cacheField>
    <cacheField name="Status" numFmtId="0">
      <sharedItems count="1">
        <s v="Churned"/>
      </sharedItems>
    </cacheField>
    <cacheField name="Months (Join Date)" numFmtId="0" databaseField="0">
      <fieldGroup base="1">
        <rangePr groupBy="months" startDate="2023-11-20T00:00:00" endDate="2024-08-19T00:00:00"/>
        <groupItems count="14">
          <s v="&lt;20-1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8-2024"/>
        </groupItems>
      </fieldGroup>
    </cacheField>
    <cacheField name="Quarters (Join Date)" numFmtId="0" databaseField="0">
      <fieldGroup base="1">
        <rangePr groupBy="quarters" startDate="2023-11-20T00:00:00" endDate="2024-08-19T00:00:00"/>
        <groupItems count="6">
          <s v="&lt;20-11-2023"/>
          <s v="Qtr1"/>
          <s v="Qtr2"/>
          <s v="Qtr3"/>
          <s v="Qtr4"/>
          <s v="&gt;19-08-2024"/>
        </groupItems>
      </fieldGroup>
    </cacheField>
    <cacheField name="Years (Join Date)" numFmtId="0" databaseField="0">
      <fieldGroup base="1">
        <rangePr groupBy="years" startDate="2023-11-20T00:00:00" endDate="2024-08-19T00:00:00"/>
        <groupItems count="4">
          <s v="&lt;20-11-2023"/>
          <s v="2023"/>
          <s v="2024"/>
          <s v="&gt;19-08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d v="2024-01-10T00:00:00"/>
    <d v="2025-12-01T00:00:00"/>
    <x v="0"/>
    <n v="3"/>
    <n v="2"/>
    <x v="0"/>
  </r>
  <r>
    <n v="102"/>
    <d v="2024-03-15T00:00:00"/>
    <d v="2025-05-15T00:00:00"/>
    <x v="1"/>
    <n v="15"/>
    <n v="0"/>
    <x v="0"/>
  </r>
  <r>
    <n v="103"/>
    <d v="2023-11-20T00:00:00"/>
    <d v="2025-10-18T00:00:00"/>
    <x v="0"/>
    <n v="2"/>
    <n v="3"/>
    <x v="0"/>
  </r>
  <r>
    <n v="104"/>
    <d v="2024-06-05T00:00:00"/>
    <d v="2025-11-24T00:00:00"/>
    <x v="2"/>
    <n v="10"/>
    <n v="1"/>
    <x v="0"/>
  </r>
  <r>
    <n v="105"/>
    <d v="2024-08-18T00:00:00"/>
    <d v="2025-12-12T00:00:00"/>
    <x v="1"/>
    <n v="1"/>
    <n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x v="0"/>
    <x v="0"/>
    <x v="0"/>
    <x v="0"/>
    <x v="0"/>
    <x v="0"/>
  </r>
  <r>
    <n v="102"/>
    <x v="1"/>
    <x v="1"/>
    <x v="1"/>
    <x v="1"/>
    <x v="1"/>
    <x v="0"/>
  </r>
  <r>
    <n v="103"/>
    <x v="2"/>
    <x v="2"/>
    <x v="0"/>
    <x v="2"/>
    <x v="2"/>
    <x v="0"/>
  </r>
  <r>
    <n v="104"/>
    <x v="3"/>
    <x v="3"/>
    <x v="2"/>
    <x v="3"/>
    <x v="3"/>
    <x v="0"/>
  </r>
  <r>
    <n v="105"/>
    <x v="4"/>
    <x v="4"/>
    <x v="1"/>
    <x v="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184B5-2E17-4FB2-9069-89BA9E380322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0">
    <pivotField dataField="1" showAll="0"/>
    <pivotField numFmtId="14" showAll="0">
      <items count="6">
        <item x="2"/>
        <item x="0"/>
        <item x="1"/>
        <item x="3"/>
        <item x="4"/>
        <item t="default"/>
      </items>
    </pivotField>
    <pivotField numFmtId="14"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Sum of Custom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CD46D-A95C-4DCB-9311-B1B40AF73E52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5:P16" firstHeaderRow="1" firstDataRow="1" firstDataCol="0"/>
  <pivotFields count="10">
    <pivotField dataField="1" showAll="0"/>
    <pivotField numFmtId="14" showAll="0">
      <items count="6">
        <item x="2"/>
        <item x="0"/>
        <item x="1"/>
        <item x="3"/>
        <item x="4"/>
        <item t="default"/>
      </items>
    </pivotField>
    <pivotField numFmtId="14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Sum of Custom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5F5E1-819A-41C7-8D63-A90CE71F5CC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:D25" firstHeaderRow="1" firstDataRow="1" firstDataCol="1" rowPageCount="1" colPageCount="1"/>
  <pivotFields count="7">
    <pivotField dataField="1" showAll="0"/>
    <pivotField numFmtId="14"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Page"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um of Customer ID" fld="0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11B17C-01F7-42C9-BC92-2194CE264C74}" name="Table2" displayName="Table2" ref="C5:I10" totalsRowShown="0" headerRowDxfId="8" dataDxfId="7">
  <autoFilter ref="C5:I10" xr:uid="{C211B17C-01F7-42C9-BC92-2194CE264C74}"/>
  <tableColumns count="7">
    <tableColumn id="1" xr3:uid="{084FC7BE-F494-473E-A83E-C38932AAA269}" name="Customer ID" dataDxfId="14"/>
    <tableColumn id="2" xr3:uid="{02C1591D-5292-4658-A881-5587231090DC}" name="Join Date" dataDxfId="13"/>
    <tableColumn id="3" xr3:uid="{084764F1-DC87-453A-A9B8-1CD031D3599B}" name="Last Active Data" dataDxfId="12"/>
    <tableColumn id="4" xr3:uid="{F61029FD-AE84-4D32-B6AA-D3CA3BD1ED98}" name="plan Type" dataDxfId="11"/>
    <tableColumn id="5" xr3:uid="{21D0B623-9B78-4DDB-8B4F-B1EFBB22D2B2}" name="usage count" dataDxfId="10"/>
    <tableColumn id="6" xr3:uid="{61E88F25-C674-436F-8F15-8A127BF0C5E0}" name="Complaints" dataDxfId="9"/>
    <tableColumn id="7" xr3:uid="{DFCCAF59-67B4-4CE8-A257-D12D920F5945}" name="Status" dataDxfId="0">
      <calculatedColumnFormula>IF(TODAY()-C6&gt;30,"Churned","Active")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FF99-22C1-4579-AD74-0C7E58D674E8}">
  <dimension ref="A3:B5"/>
  <sheetViews>
    <sheetView workbookViewId="0">
      <selection activeCell="A3" sqref="A3:B5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12</v>
      </c>
      <c r="B3" t="s">
        <v>14</v>
      </c>
    </row>
    <row r="4" spans="1:2" x14ac:dyDescent="0.3">
      <c r="A4" s="3" t="s">
        <v>17</v>
      </c>
      <c r="B4" s="4">
        <v>515</v>
      </c>
    </row>
    <row r="5" spans="1:2" x14ac:dyDescent="0.3">
      <c r="A5" s="3" t="s">
        <v>13</v>
      </c>
      <c r="B5" s="4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21A6-EDFB-4DD3-B521-0B2EDB0639EA}">
  <dimension ref="B5:P52"/>
  <sheetViews>
    <sheetView tabSelected="1" topLeftCell="B1" workbookViewId="0">
      <selection activeCell="J13" sqref="J13"/>
    </sheetView>
  </sheetViews>
  <sheetFormatPr defaultRowHeight="14.4" x14ac:dyDescent="0.3"/>
  <cols>
    <col min="3" max="3" width="21.21875" customWidth="1"/>
    <col min="4" max="4" width="18" bestFit="1" customWidth="1"/>
    <col min="5" max="5" width="19.21875" customWidth="1"/>
    <col min="6" max="6" width="26.5546875" customWidth="1"/>
    <col min="7" max="7" width="15.5546875" bestFit="1" customWidth="1"/>
    <col min="8" max="8" width="14.88671875" customWidth="1"/>
    <col min="9" max="9" width="14.44140625" customWidth="1"/>
    <col min="11" max="11" width="12.77734375" customWidth="1"/>
    <col min="12" max="12" width="22.33203125" customWidth="1"/>
    <col min="13" max="13" width="17.5546875" customWidth="1"/>
    <col min="14" max="16" width="18" bestFit="1" customWidth="1"/>
  </cols>
  <sheetData>
    <row r="5" spans="3:16" x14ac:dyDescent="0.3"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</row>
    <row r="6" spans="3:16" x14ac:dyDescent="0.3">
      <c r="C6" s="5">
        <v>101</v>
      </c>
      <c r="D6" s="6">
        <v>45301</v>
      </c>
      <c r="E6" s="6">
        <v>45992</v>
      </c>
      <c r="F6" s="5" t="s">
        <v>7</v>
      </c>
      <c r="G6" s="5">
        <v>3</v>
      </c>
      <c r="H6" s="5">
        <v>2</v>
      </c>
      <c r="I6" s="5" t="str">
        <f ca="1">IF(TODAY()-C6&gt;30,"Churned","Active")</f>
        <v>Churned</v>
      </c>
    </row>
    <row r="7" spans="3:16" x14ac:dyDescent="0.3">
      <c r="C7" s="5">
        <v>102</v>
      </c>
      <c r="D7" s="6">
        <v>45366</v>
      </c>
      <c r="E7" s="6">
        <v>46023</v>
      </c>
      <c r="F7" s="5" t="s">
        <v>8</v>
      </c>
      <c r="G7" s="5">
        <v>15</v>
      </c>
      <c r="H7" s="5">
        <v>0</v>
      </c>
      <c r="I7" s="5" t="str">
        <f t="shared" ref="I7:I10" ca="1" si="0">IF(TODAY()-C7&gt;30,"Churned","Active")</f>
        <v>Churned</v>
      </c>
    </row>
    <row r="8" spans="3:16" x14ac:dyDescent="0.3">
      <c r="C8" s="5">
        <v>103</v>
      </c>
      <c r="D8" s="6">
        <v>45250</v>
      </c>
      <c r="E8" s="6">
        <v>45940</v>
      </c>
      <c r="F8" s="5" t="s">
        <v>7</v>
      </c>
      <c r="G8" s="5">
        <v>2</v>
      </c>
      <c r="H8" s="5">
        <v>3</v>
      </c>
      <c r="I8" s="5" t="str">
        <f t="shared" ca="1" si="0"/>
        <v>Churned</v>
      </c>
    </row>
    <row r="9" spans="3:16" x14ac:dyDescent="0.3">
      <c r="C9" s="5">
        <v>104</v>
      </c>
      <c r="D9" s="6">
        <v>45448</v>
      </c>
      <c r="E9" s="6">
        <v>46024</v>
      </c>
      <c r="F9" s="5" t="s">
        <v>9</v>
      </c>
      <c r="G9" s="5">
        <v>10</v>
      </c>
      <c r="H9" s="5">
        <v>1</v>
      </c>
      <c r="I9" s="5" t="str">
        <f t="shared" ca="1" si="0"/>
        <v>Churned</v>
      </c>
    </row>
    <row r="10" spans="3:16" x14ac:dyDescent="0.3">
      <c r="C10" s="5">
        <v>105</v>
      </c>
      <c r="D10" s="6">
        <v>45522</v>
      </c>
      <c r="E10" s="6">
        <v>45901</v>
      </c>
      <c r="F10" s="5" t="s">
        <v>8</v>
      </c>
      <c r="G10" s="5">
        <v>1</v>
      </c>
      <c r="H10" s="5">
        <v>4</v>
      </c>
      <c r="I10" s="5" t="str">
        <f t="shared" ca="1" si="0"/>
        <v>Churned</v>
      </c>
    </row>
    <row r="12" spans="3:16" x14ac:dyDescent="0.3">
      <c r="L12" s="13" t="s">
        <v>10</v>
      </c>
      <c r="M12" s="13" t="s">
        <v>11</v>
      </c>
      <c r="N12" s="1"/>
    </row>
    <row r="13" spans="3:16" x14ac:dyDescent="0.3">
      <c r="L13" s="13">
        <f>COUNTA(C6:C10)</f>
        <v>5</v>
      </c>
      <c r="M13" s="13">
        <f ca="1">COUNTA(I6:I10)</f>
        <v>5</v>
      </c>
    </row>
    <row r="15" spans="3:16" x14ac:dyDescent="0.3">
      <c r="P15" t="s">
        <v>14</v>
      </c>
    </row>
    <row r="16" spans="3:16" x14ac:dyDescent="0.3">
      <c r="P16" s="4">
        <v>515</v>
      </c>
    </row>
    <row r="19" spans="2:12" x14ac:dyDescent="0.3">
      <c r="C19" s="7" t="s">
        <v>6</v>
      </c>
      <c r="D19" s="7" t="s">
        <v>15</v>
      </c>
    </row>
    <row r="20" spans="2:12" x14ac:dyDescent="0.3">
      <c r="C20" s="7"/>
      <c r="D20" s="7"/>
      <c r="I20" s="10" t="s">
        <v>0</v>
      </c>
      <c r="J20" s="10" t="s">
        <v>16</v>
      </c>
      <c r="K20" s="10"/>
      <c r="L20" s="1"/>
    </row>
    <row r="21" spans="2:12" x14ac:dyDescent="0.3">
      <c r="C21" s="7" t="s">
        <v>12</v>
      </c>
      <c r="D21" s="7" t="s">
        <v>14</v>
      </c>
      <c r="I21" s="10">
        <v>101</v>
      </c>
      <c r="J21" s="10" t="str">
        <f>IF(AND(G6&lt;5,H6&gt;=2),"High Risk","Low Risk")</f>
        <v>High Risk</v>
      </c>
      <c r="K21" s="10"/>
      <c r="L21" s="1"/>
    </row>
    <row r="22" spans="2:12" x14ac:dyDescent="0.3">
      <c r="C22" s="8" t="s">
        <v>7</v>
      </c>
      <c r="D22" s="9">
        <v>204</v>
      </c>
      <c r="I22" s="10">
        <v>102</v>
      </c>
      <c r="J22" s="10" t="str">
        <f t="shared" ref="J22:J25" si="1">IF(AND(G7&lt;5,H7&gt;=2),"High Risk","Low Risk")</f>
        <v>Low Risk</v>
      </c>
      <c r="K22" s="10"/>
      <c r="L22" s="1"/>
    </row>
    <row r="23" spans="2:12" x14ac:dyDescent="0.3">
      <c r="C23" s="8" t="s">
        <v>8</v>
      </c>
      <c r="D23" s="9">
        <v>207</v>
      </c>
      <c r="I23" s="10">
        <v>103</v>
      </c>
      <c r="J23" s="10" t="str">
        <f t="shared" si="1"/>
        <v>High Risk</v>
      </c>
      <c r="K23" s="10"/>
      <c r="L23" s="1"/>
    </row>
    <row r="24" spans="2:12" x14ac:dyDescent="0.3">
      <c r="C24" s="8" t="s">
        <v>9</v>
      </c>
      <c r="D24" s="9">
        <v>104</v>
      </c>
      <c r="I24" s="10">
        <v>104</v>
      </c>
      <c r="J24" s="10" t="str">
        <f t="shared" si="1"/>
        <v>Low Risk</v>
      </c>
      <c r="K24" s="10"/>
      <c r="L24" s="1"/>
    </row>
    <row r="25" spans="2:12" x14ac:dyDescent="0.3">
      <c r="C25" s="8" t="s">
        <v>13</v>
      </c>
      <c r="D25" s="9">
        <v>515</v>
      </c>
      <c r="I25" s="10">
        <v>105</v>
      </c>
      <c r="J25" s="10" t="str">
        <f t="shared" si="1"/>
        <v>High Risk</v>
      </c>
      <c r="K25" s="10"/>
      <c r="L25" s="1"/>
    </row>
    <row r="32" spans="2:12" ht="18" x14ac:dyDescent="0.35">
      <c r="B32" s="12" t="s">
        <v>18</v>
      </c>
      <c r="C32" s="12"/>
      <c r="F32" s="11" t="s">
        <v>19</v>
      </c>
      <c r="K32" s="14" t="s">
        <v>20</v>
      </c>
      <c r="L32" s="14"/>
    </row>
    <row r="52" spans="6:6" ht="21" x14ac:dyDescent="0.4">
      <c r="F52" s="15" t="s">
        <v>21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2026-01-03T00:18:54Z</dcterms:created>
  <dcterms:modified xsi:type="dcterms:W3CDTF">2026-01-03T02:44:24Z</dcterms:modified>
</cp:coreProperties>
</file>