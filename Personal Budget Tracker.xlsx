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1b50179c63c47f/Documents/"/>
    </mc:Choice>
  </mc:AlternateContent>
  <xr:revisionPtr revIDLastSave="6" documentId="8_{B0A93946-DAE9-41D0-97BB-A5780A6A8881}" xr6:coauthVersionLast="47" xr6:coauthVersionMax="47" xr10:uidLastSave="{4EA280A3-BB8E-4E51-B8C5-0497D5A3C3B3}"/>
  <bookViews>
    <workbookView xWindow="-108" yWindow="-108" windowWidth="23256" windowHeight="12456" xr2:uid="{18D204D3-DE0D-4B56-803B-2F52F1F7D9B7}"/>
  </bookViews>
  <sheets>
    <sheet name="Sheet1" sheetId="1" r:id="rId1"/>
    <sheet name="Sheet2" sheetId="2" r:id="rId2"/>
    <sheet name="Sheet3" sheetId="3" r:id="rId3"/>
  </sheets>
  <calcPr calcId="191029"/>
  <pivotCaches>
    <pivotCache cacheId="3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F23" i="1"/>
  <c r="G13" i="1"/>
</calcChain>
</file>

<file path=xl/sharedStrings.xml><?xml version="1.0" encoding="utf-8"?>
<sst xmlns="http://schemas.openxmlformats.org/spreadsheetml/2006/main" count="45" uniqueCount="29">
  <si>
    <t>DATE</t>
  </si>
  <si>
    <t>SOURCE</t>
  </si>
  <si>
    <t>INCOME</t>
  </si>
  <si>
    <t>SALARY</t>
  </si>
  <si>
    <t>FREELANCE</t>
  </si>
  <si>
    <t>SHOP</t>
  </si>
  <si>
    <t>Category</t>
  </si>
  <si>
    <t>description</t>
  </si>
  <si>
    <t>Amount</t>
  </si>
  <si>
    <t>Food</t>
  </si>
  <si>
    <t>Lunch</t>
  </si>
  <si>
    <t>Travel</t>
  </si>
  <si>
    <t>Bus</t>
  </si>
  <si>
    <t>Rent</t>
  </si>
  <si>
    <t>Hostel</t>
  </si>
  <si>
    <t>Electricity</t>
  </si>
  <si>
    <t>Home</t>
  </si>
  <si>
    <t>Shopping</t>
  </si>
  <si>
    <t>Mall</t>
  </si>
  <si>
    <t>Details</t>
  </si>
  <si>
    <t>Total Income</t>
  </si>
  <si>
    <t>Total Expenses</t>
  </si>
  <si>
    <t>savings</t>
  </si>
  <si>
    <t>Row Labels</t>
  </si>
  <si>
    <t>(blank)</t>
  </si>
  <si>
    <t>Grand Total</t>
  </si>
  <si>
    <t>Sum of Amount</t>
  </si>
  <si>
    <t>Expensive  Distribution</t>
  </si>
  <si>
    <t>Income VS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</si>
</sst>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</cellStyleXfs>
  <cellXfs count="10">
    <xf numFmtId="0" fontId="0" fillId="0" borderId="0" xfId="0"/>
    <xf numFmtId="0" fontId="1" fillId="4" borderId="0" xfId="3"/>
    <xf numFmtId="0" fontId="4" fillId="5" borderId="0" xfId="4" applyAlignment="1">
      <alignment horizontal="center" vertical="center"/>
    </xf>
    <xf numFmtId="14" fontId="4" fillId="5" borderId="0" xfId="4" applyNumberFormat="1" applyAlignment="1">
      <alignment horizontal="center" vertical="center"/>
    </xf>
    <xf numFmtId="0" fontId="2" fillId="2" borderId="0" xfId="1" applyAlignment="1">
      <alignment horizontal="center" vertical="center"/>
    </xf>
    <xf numFmtId="14" fontId="2" fillId="2" borderId="0" xfId="1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1" xfId="2" applyFont="1"/>
  </cellXfs>
  <cellStyles count="5">
    <cellStyle name="60% - Accent4" xfId="3" builtinId="44"/>
    <cellStyle name="Accent5" xfId="4" builtinId="45"/>
    <cellStyle name="Bad" xfId="1" builtinId="27"/>
    <cellStyle name="Calculation" xfId="2" builtinId="22"/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Budget Tracker.xlsx]Sheet1!PivotTable1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Sheet1!$Q$10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Sheet1!$P$11:$P$17</c:f>
              <c:strCache>
                <c:ptCount val="6"/>
                <c:pt idx="0">
                  <c:v>Electricity</c:v>
                </c:pt>
                <c:pt idx="1">
                  <c:v>Food</c:v>
                </c:pt>
                <c:pt idx="2">
                  <c:v>Rent</c:v>
                </c:pt>
                <c:pt idx="3">
                  <c:v>Shopping</c:v>
                </c:pt>
                <c:pt idx="4">
                  <c:v>Travel</c:v>
                </c:pt>
                <c:pt idx="5">
                  <c:v>(blank)</c:v>
                </c:pt>
              </c:strCache>
            </c:strRef>
          </c:cat>
          <c:val>
            <c:numRef>
              <c:f>Sheet1!$Q$11:$Q$17</c:f>
              <c:numCache>
                <c:formatCode>General</c:formatCode>
                <c:ptCount val="6"/>
                <c:pt idx="0">
                  <c:v>300</c:v>
                </c:pt>
                <c:pt idx="1">
                  <c:v>150</c:v>
                </c:pt>
                <c:pt idx="2">
                  <c:v>200</c:v>
                </c:pt>
                <c:pt idx="3">
                  <c:v>2000</c:v>
                </c:pt>
                <c:pt idx="4">
                  <c:v>80</c:v>
                </c:pt>
                <c:pt idx="5">
                  <c:v>2730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3-4C12-8374-95838353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Budget Tracker.xlsx]Sheet1!PivotTable2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Sheet1!$B$29:$B$32</c:f>
              <c:strCache>
                <c:ptCount val="3"/>
                <c:pt idx="0">
                  <c:v>savings</c:v>
                </c:pt>
                <c:pt idx="1">
                  <c:v>Total Expenses</c:v>
                </c:pt>
                <c:pt idx="2">
                  <c:v>Total Income</c:v>
                </c:pt>
              </c:strCache>
            </c:strRef>
          </c:cat>
          <c:val>
            <c:numRef>
              <c:f>Sheet1!$C$29:$C$32</c:f>
              <c:numCache>
                <c:formatCode>General</c:formatCode>
                <c:ptCount val="3"/>
                <c:pt idx="0">
                  <c:v>117270</c:v>
                </c:pt>
                <c:pt idx="1">
                  <c:v>2730</c:v>
                </c:pt>
                <c:pt idx="2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7-4932-9C25-4381302F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5222415"/>
        <c:axId val="1205213295"/>
        <c:axId val="0"/>
      </c:bar3DChart>
      <c:catAx>
        <c:axId val="12052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13295"/>
        <c:crosses val="autoZero"/>
        <c:auto val="1"/>
        <c:lblAlgn val="ctr"/>
        <c:lblOffset val="100"/>
        <c:noMultiLvlLbl val="0"/>
      </c:catAx>
      <c:valAx>
        <c:axId val="120521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198120</xdr:colOff>
      <xdr:row>17</xdr:row>
      <xdr:rowOff>95250</xdr:rowOff>
    </xdr:from>
    <xdr:to>
      <xdr:col>19</xdr:col>
      <xdr:colOff>480060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B6805-8CA5-4C5B-8B6A-71D66ED7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33</xdr:row>
      <xdr:rowOff>121920</xdr:rowOff>
    </xdr:from>
    <xdr:to>
      <xdr:col>4</xdr:col>
      <xdr:colOff>327660</xdr:colOff>
      <xdr:row>47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F718A8-66C7-9EB6-51D8-D6C2A43D6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d Gift" refreshedDate="46025.474282291667" createdVersion="8" refreshedVersion="8" minRefreshableVersion="3" recordCount="6" xr:uid="{3C0B7BA2-2B1C-450E-B28E-CA7E569F6A98}">
  <cacheSource type="worksheet">
    <worksheetSource name="Table3"/>
  </cacheSource>
  <cacheFields count="4">
    <cacheField name="DATE" numFmtId="0">
      <sharedItems containsNonDate="0" containsDate="1" containsString="0" containsBlank="1" minDate="2025-01-02T00:00:00" maxDate="2025-01-31T00:00:00"/>
    </cacheField>
    <cacheField name="Category" numFmtId="0">
      <sharedItems containsBlank="1" count="6">
        <s v="Food"/>
        <s v="Travel"/>
        <s v="Rent"/>
        <s v="Electricity"/>
        <s v="Shopping"/>
        <m/>
      </sharedItems>
    </cacheField>
    <cacheField name="description" numFmtId="0">
      <sharedItems containsBlank="1"/>
    </cacheField>
    <cacheField name="Amount" numFmtId="0">
      <sharedItems containsSemiMixedTypes="0" containsString="0" containsNumber="1" containsInteger="1" minValue="80" maxValue="27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d Gift" refreshedDate="46025.479304282409" createdVersion="8" refreshedVersion="8" minRefreshableVersion="3" recordCount="3" xr:uid="{0A551BD1-BD1C-4C00-ABD9-DD74FBA31DF5}">
  <cacheSource type="worksheet">
    <worksheetSource name="Table2"/>
  </cacheSource>
  <cacheFields count="2">
    <cacheField name="Details" numFmtId="0">
      <sharedItems count="3">
        <s v="Total Income"/>
        <s v="Total Expenses"/>
        <s v="savings"/>
      </sharedItems>
    </cacheField>
    <cacheField name="Amount" numFmtId="0">
      <sharedItems containsSemiMixedTypes="0" containsString="0" containsNumber="1" containsInteger="1" minValue="273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5-01-02T00:00:00"/>
    <x v="0"/>
    <s v="Lunch"/>
    <n v="150"/>
  </r>
  <r>
    <d v="2025-01-03T00:00:00"/>
    <x v="1"/>
    <s v="Bus"/>
    <n v="80"/>
  </r>
  <r>
    <d v="2025-01-10T00:00:00"/>
    <x v="2"/>
    <s v="Hostel"/>
    <n v="200"/>
  </r>
  <r>
    <d v="2025-01-15T00:00:00"/>
    <x v="3"/>
    <s v="Home"/>
    <n v="300"/>
  </r>
  <r>
    <d v="2025-01-30T00:00:00"/>
    <x v="4"/>
    <s v="Mall"/>
    <n v="2000"/>
  </r>
  <r>
    <m/>
    <x v="5"/>
    <m/>
    <n v="27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20000"/>
  </r>
  <r>
    <x v="1"/>
    <n v="2730"/>
  </r>
  <r>
    <x v="2"/>
    <n v="117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9ABD2-7AE3-496F-8FB4-7CAFCD8BEE5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28:C32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F3202-542E-4DAD-B3DD-1BCC6F0E136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10:Q17" firstHeaderRow="1" firstDataRow="1" firstDataCol="1"/>
  <pivotFields count="4">
    <pivotField showAll="0"/>
    <pivotField axis="axisRow" showAll="0">
      <items count="7">
        <item x="3"/>
        <item x="0"/>
        <item x="2"/>
        <item x="4"/>
        <item x="1"/>
        <item x="5"/>
        <item t="default"/>
      </items>
    </pivotField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3154C-0435-46EC-B15B-CCCC4375CC16}" name="Table1" displayName="Table1" ref="E6:G13" totalsRowShown="0" headerRowDxfId="7" dataDxfId="6" headerRowCellStyle="Accent5" dataCellStyle="Accent5">
  <autoFilter ref="E6:G13" xr:uid="{72A3154C-0435-46EC-B15B-CCCC4375CC16}">
    <filterColumn colId="0" hiddenButton="1"/>
    <filterColumn colId="1" hiddenButton="1"/>
    <filterColumn colId="2" hiddenButton="1"/>
  </autoFilter>
  <tableColumns count="3">
    <tableColumn id="1" xr3:uid="{C17CE2C1-6EC0-4F8D-A338-F292EA614BB0}" name="DATE" dataDxfId="10" dataCellStyle="Accent5"/>
    <tableColumn id="2" xr3:uid="{F4601D4B-B677-4975-A32C-35460D6B4A5E}" name="SOURCE" dataDxfId="9" dataCellStyle="Accent5"/>
    <tableColumn id="3" xr3:uid="{A36C1A31-00A8-44B9-AD77-A2C492C6A70A}" name="INCOME" dataDxfId="8" dataCellStyle="Accent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F8D482-4C2C-4864-AFB0-F39230004C6D}" name="Table2" displayName="Table2" ref="E20:F23" totalsRowShown="0" headerRowCellStyle="60% - Accent4" dataCellStyle="60% - Accent4">
  <autoFilter ref="E20:F23" xr:uid="{93F8D482-4C2C-4864-AFB0-F39230004C6D}">
    <filterColumn colId="0" hiddenButton="1"/>
    <filterColumn colId="1" hiddenButton="1"/>
  </autoFilter>
  <tableColumns count="2">
    <tableColumn id="1" xr3:uid="{EF6F21A2-0F0E-4CC2-B937-616FE499169F}" name="Details" dataCellStyle="60% - Accent4"/>
    <tableColumn id="2" xr3:uid="{31F9350E-5B22-4488-8566-3843AE9E67B1}" name="Amount" dataCellStyle="60% - Accent4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13E437-CB14-49BB-BA6E-1AB2629475A9}" name="Table3" displayName="Table3" ref="I20:L26" totalsRowShown="0" headerRowDxfId="1" dataDxfId="0" headerRowCellStyle="Bad" dataCellStyle="Bad">
  <autoFilter ref="I20:L26" xr:uid="{2313E437-CB14-49BB-BA6E-1AB2629475A9}">
    <filterColumn colId="0" hiddenButton="1"/>
    <filterColumn colId="1" hiddenButton="1"/>
    <filterColumn colId="2" hiddenButton="1"/>
    <filterColumn colId="3" hiddenButton="1"/>
  </autoFilter>
  <tableColumns count="4">
    <tableColumn id="1" xr3:uid="{43070728-A09F-4F54-9AA2-EF663093313A}" name="DATE" dataDxfId="5" dataCellStyle="Bad"/>
    <tableColumn id="2" xr3:uid="{730F4C7A-37BD-4F7A-BFD6-6D734885E680}" name="Category" dataDxfId="4" dataCellStyle="Bad"/>
    <tableColumn id="3" xr3:uid="{343CA967-A301-4EE5-8FDE-20B5F903F3B2}" name="description" dataDxfId="3" dataCellStyle="Bad"/>
    <tableColumn id="4" xr3:uid="{42BF10D0-FA2B-4E33-BFB0-4FC831412E1B}" name="Amount" dataDxfId="2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D173-F889-48F7-9587-7E058D4748AF}">
  <dimension ref="B6:Q50"/>
  <sheetViews>
    <sheetView tabSelected="1" topLeftCell="A28" workbookViewId="0">
      <selection activeCell="H42" sqref="H42"/>
    </sheetView>
  </sheetViews>
  <sheetFormatPr defaultRowHeight="14.4" x14ac:dyDescent="0.3"/>
  <cols>
    <col min="2" max="2" width="13.21875" bestFit="1" customWidth="1"/>
    <col min="3" max="3" width="14.44140625" bestFit="1" customWidth="1"/>
    <col min="5" max="5" width="12" customWidth="1"/>
    <col min="6" max="6" width="11.44140625" customWidth="1"/>
    <col min="7" max="7" width="11.109375" customWidth="1"/>
    <col min="9" max="9" width="12.77734375" customWidth="1"/>
    <col min="10" max="10" width="10.21875" customWidth="1"/>
    <col min="11" max="11" width="12.88671875" customWidth="1"/>
    <col min="12" max="12" width="9.33203125" customWidth="1"/>
    <col min="16" max="16" width="12.5546875" bestFit="1" customWidth="1"/>
    <col min="17" max="17" width="14.44140625" bestFit="1" customWidth="1"/>
  </cols>
  <sheetData>
    <row r="6" spans="5:17" x14ac:dyDescent="0.3">
      <c r="E6" s="2" t="s">
        <v>0</v>
      </c>
      <c r="F6" s="2" t="s">
        <v>1</v>
      </c>
      <c r="G6" s="2" t="s">
        <v>2</v>
      </c>
    </row>
    <row r="7" spans="5:17" x14ac:dyDescent="0.3">
      <c r="E7" s="3">
        <v>45324</v>
      </c>
      <c r="F7" s="2" t="s">
        <v>3</v>
      </c>
      <c r="G7" s="2">
        <v>20000</v>
      </c>
    </row>
    <row r="8" spans="5:17" x14ac:dyDescent="0.3">
      <c r="E8" s="3">
        <v>45354</v>
      </c>
      <c r="F8" s="2" t="s">
        <v>4</v>
      </c>
      <c r="G8" s="2">
        <v>10000</v>
      </c>
    </row>
    <row r="9" spans="5:17" x14ac:dyDescent="0.3">
      <c r="E9" s="3">
        <v>45386</v>
      </c>
      <c r="F9" s="2" t="s">
        <v>5</v>
      </c>
      <c r="G9" s="2">
        <v>30000</v>
      </c>
    </row>
    <row r="10" spans="5:17" x14ac:dyDescent="0.3">
      <c r="E10" s="3">
        <v>45417</v>
      </c>
      <c r="F10" s="2" t="s">
        <v>3</v>
      </c>
      <c r="G10" s="2">
        <v>15000</v>
      </c>
      <c r="P10" s="6" t="s">
        <v>23</v>
      </c>
      <c r="Q10" t="s">
        <v>26</v>
      </c>
    </row>
    <row r="11" spans="5:17" x14ac:dyDescent="0.3">
      <c r="E11" s="3">
        <v>45449</v>
      </c>
      <c r="F11" s="2" t="s">
        <v>4</v>
      </c>
      <c r="G11" s="2">
        <v>20000</v>
      </c>
      <c r="P11" s="7" t="s">
        <v>15</v>
      </c>
      <c r="Q11" s="8">
        <v>300</v>
      </c>
    </row>
    <row r="12" spans="5:17" x14ac:dyDescent="0.3">
      <c r="E12" s="3">
        <v>45480</v>
      </c>
      <c r="F12" s="2" t="s">
        <v>3</v>
      </c>
      <c r="G12" s="2">
        <v>25000</v>
      </c>
      <c r="P12" s="7" t="s">
        <v>9</v>
      </c>
      <c r="Q12" s="8">
        <v>150</v>
      </c>
    </row>
    <row r="13" spans="5:17" x14ac:dyDescent="0.3">
      <c r="E13" s="2"/>
      <c r="F13" s="2"/>
      <c r="G13" s="2">
        <f>SUM(G7:G12)</f>
        <v>120000</v>
      </c>
      <c r="P13" s="7" t="s">
        <v>13</v>
      </c>
      <c r="Q13" s="8">
        <v>200</v>
      </c>
    </row>
    <row r="14" spans="5:17" x14ac:dyDescent="0.3">
      <c r="P14" s="7" t="s">
        <v>17</v>
      </c>
      <c r="Q14" s="8">
        <v>2000</v>
      </c>
    </row>
    <row r="15" spans="5:17" x14ac:dyDescent="0.3">
      <c r="P15" s="7" t="s">
        <v>11</v>
      </c>
      <c r="Q15" s="8">
        <v>80</v>
      </c>
    </row>
    <row r="16" spans="5:17" x14ac:dyDescent="0.3">
      <c r="P16" s="7" t="s">
        <v>24</v>
      </c>
      <c r="Q16" s="8">
        <v>2730</v>
      </c>
    </row>
    <row r="17" spans="2:17" x14ac:dyDescent="0.3">
      <c r="P17" s="7" t="s">
        <v>25</v>
      </c>
      <c r="Q17" s="8">
        <v>5460</v>
      </c>
    </row>
    <row r="20" spans="2:17" x14ac:dyDescent="0.3">
      <c r="E20" s="1" t="s">
        <v>19</v>
      </c>
      <c r="F20" s="1" t="s">
        <v>8</v>
      </c>
      <c r="I20" s="4" t="s">
        <v>0</v>
      </c>
      <c r="J20" s="4" t="s">
        <v>6</v>
      </c>
      <c r="K20" s="4" t="s">
        <v>7</v>
      </c>
      <c r="L20" s="4" t="s">
        <v>8</v>
      </c>
    </row>
    <row r="21" spans="2:17" x14ac:dyDescent="0.3">
      <c r="E21" s="1" t="s">
        <v>20</v>
      </c>
      <c r="F21" s="1">
        <v>120000</v>
      </c>
      <c r="I21" s="5">
        <v>45659</v>
      </c>
      <c r="J21" s="4" t="s">
        <v>9</v>
      </c>
      <c r="K21" s="4" t="s">
        <v>10</v>
      </c>
      <c r="L21" s="4">
        <v>150</v>
      </c>
    </row>
    <row r="22" spans="2:17" x14ac:dyDescent="0.3">
      <c r="E22" s="1" t="s">
        <v>21</v>
      </c>
      <c r="F22" s="1">
        <v>2730</v>
      </c>
      <c r="I22" s="5">
        <v>45660</v>
      </c>
      <c r="J22" s="4" t="s">
        <v>11</v>
      </c>
      <c r="K22" s="4" t="s">
        <v>12</v>
      </c>
      <c r="L22" s="4">
        <v>80</v>
      </c>
    </row>
    <row r="23" spans="2:17" x14ac:dyDescent="0.3">
      <c r="E23" s="1" t="s">
        <v>22</v>
      </c>
      <c r="F23" s="1">
        <f>F21-F22</f>
        <v>117270</v>
      </c>
      <c r="I23" s="5">
        <v>45667</v>
      </c>
      <c r="J23" s="4" t="s">
        <v>13</v>
      </c>
      <c r="K23" s="4" t="s">
        <v>14</v>
      </c>
      <c r="L23" s="4">
        <v>200</v>
      </c>
    </row>
    <row r="24" spans="2:17" x14ac:dyDescent="0.3">
      <c r="I24" s="5">
        <v>45672</v>
      </c>
      <c r="J24" s="4" t="s">
        <v>15</v>
      </c>
      <c r="K24" s="4" t="s">
        <v>16</v>
      </c>
      <c r="L24" s="4">
        <v>300</v>
      </c>
    </row>
    <row r="25" spans="2:17" x14ac:dyDescent="0.3">
      <c r="I25" s="5">
        <v>45687</v>
      </c>
      <c r="J25" s="4" t="s">
        <v>17</v>
      </c>
      <c r="K25" s="4" t="s">
        <v>18</v>
      </c>
      <c r="L25" s="4">
        <v>2000</v>
      </c>
    </row>
    <row r="26" spans="2:17" x14ac:dyDescent="0.3">
      <c r="I26" s="4"/>
      <c r="J26" s="4"/>
      <c r="K26" s="4"/>
      <c r="L26" s="4">
        <f>SUM(L21:L25)</f>
        <v>2730</v>
      </c>
    </row>
    <row r="28" spans="2:17" x14ac:dyDescent="0.3">
      <c r="B28" s="6" t="s">
        <v>23</v>
      </c>
      <c r="C28" t="s">
        <v>26</v>
      </c>
    </row>
    <row r="29" spans="2:17" x14ac:dyDescent="0.3">
      <c r="B29" s="7" t="s">
        <v>22</v>
      </c>
      <c r="C29" s="8">
        <v>117270</v>
      </c>
    </row>
    <row r="30" spans="2:17" x14ac:dyDescent="0.3">
      <c r="B30" s="7" t="s">
        <v>21</v>
      </c>
      <c r="C30" s="8">
        <v>2730</v>
      </c>
    </row>
    <row r="31" spans="2:17" x14ac:dyDescent="0.3">
      <c r="B31" s="7" t="s">
        <v>20</v>
      </c>
      <c r="C31" s="8">
        <v>120000</v>
      </c>
    </row>
    <row r="32" spans="2:17" x14ac:dyDescent="0.3">
      <c r="B32" s="7" t="s">
        <v>25</v>
      </c>
      <c r="C32" s="8">
        <v>240000</v>
      </c>
    </row>
    <row r="36" spans="16:17" ht="18" x14ac:dyDescent="0.35">
      <c r="P36" s="9" t="s">
        <v>27</v>
      </c>
      <c r="Q36" s="9"/>
    </row>
    <row r="50" spans="2:3" ht="18" x14ac:dyDescent="0.35">
      <c r="B50" s="9" t="s">
        <v>28</v>
      </c>
      <c r="C50" s="9"/>
    </row>
  </sheetData>
  <pageMargins left="0.7" right="0.7" top="0.75" bottom="0.75" header="0.3" footer="0.3"/>
  <drawing r:id="rId3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30F5-4BCC-48B0-9880-76A34E9CA213}">
  <dimension ref="A1"/>
  <sheetViews>
    <sheetView workbookViewId="0">
      <selection activeCell="E15" sqref="E15"/>
    </sheetView>
  </sheetViews>
  <sheetFormatPr defaultRowHeight="14.4" x14ac:dyDescent="0.3"/>
  <cols>
    <col min="3" max="3" width="11.21875" customWidth="1"/>
    <col min="4" max="4" width="17.33203125" customWidth="1"/>
    <col min="5" max="5" width="11.44140625" customWidth="1"/>
    <col min="6" max="6" width="15.6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F6D6-3EB2-4F2E-BCB6-990AE8D11BF4}">
  <dimension ref="A1"/>
  <sheetViews>
    <sheetView workbookViewId="0">
      <selection activeCell="E19" sqref="E19"/>
    </sheetView>
  </sheetViews>
  <sheetFormatPr defaultRowHeight="14.4" x14ac:dyDescent="0.3"/>
  <cols>
    <col min="4" max="4" width="17.109375" customWidth="1"/>
    <col min="5" max="5" width="18.2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2026-01-03T04:45:51Z</dcterms:created>
  <dcterms:modified xsi:type="dcterms:W3CDTF">2026-01-03T06:17:31Z</dcterms:modified>
</cp:coreProperties>
</file>